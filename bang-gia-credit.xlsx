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m116gb/Downloads/Agency/taisandaugia/"/>
    </mc:Choice>
  </mc:AlternateContent>
  <xr:revisionPtr revIDLastSave="0" documentId="13_ncr:1_{140A1981-0E1F-C541-A2CC-9AD53EDB871D}" xr6:coauthVersionLast="47" xr6:coauthVersionMax="47" xr10:uidLastSave="{00000000-0000-0000-0000-000000000000}"/>
  <bookViews>
    <workbookView xWindow="0" yWindow="500" windowWidth="25380" windowHeight="17140" tabRatio="500" activeTab="1" xr2:uid="{00000000-000D-0000-FFFF-FFFF00000000}"/>
  </bookViews>
  <sheets>
    <sheet name="Tổng quan" sheetId="1" r:id="rId1"/>
    <sheet name="Gói credit" sheetId="2" r:id="rId2"/>
    <sheet name="Dịch vụ" sheetId="3" r:id="rId3"/>
    <sheet name="Chiến thuật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9" i="3" l="1"/>
  <c r="D15" i="3"/>
  <c r="D6" i="3"/>
  <c r="F19" i="3"/>
  <c r="F15" i="3"/>
  <c r="F6" i="3"/>
  <c r="E26" i="2"/>
  <c r="F26" i="2" s="1"/>
  <c r="G26" i="2" s="1"/>
  <c r="F25" i="2"/>
  <c r="G25" i="2" s="1"/>
  <c r="E25" i="2"/>
  <c r="E24" i="2"/>
  <c r="F24" i="2" s="1"/>
  <c r="G24" i="2" s="1"/>
  <c r="F23" i="2"/>
  <c r="G23" i="2" s="1"/>
  <c r="E23" i="2"/>
  <c r="E22" i="2"/>
  <c r="F22" i="2" s="1"/>
  <c r="G22" i="2" s="1"/>
  <c r="E18" i="2"/>
  <c r="F18" i="2" s="1"/>
  <c r="G18" i="2" s="1"/>
  <c r="E17" i="2"/>
  <c r="F17" i="2" s="1"/>
  <c r="G17" i="2" s="1"/>
  <c r="E16" i="2"/>
  <c r="F16" i="2" s="1"/>
  <c r="G16" i="2" s="1"/>
  <c r="E15" i="2"/>
  <c r="F15" i="2" s="1"/>
  <c r="G15" i="2" s="1"/>
  <c r="F11" i="2"/>
  <c r="G11" i="2" s="1"/>
  <c r="E11" i="2"/>
  <c r="E10" i="2"/>
  <c r="F10" i="2" s="1"/>
  <c r="G10" i="2" s="1"/>
  <c r="F9" i="2"/>
  <c r="G9" i="2" s="1"/>
  <c r="E9" i="2"/>
  <c r="G8" i="2"/>
  <c r="F8" i="2"/>
  <c r="E8" i="2"/>
  <c r="E7" i="2"/>
  <c r="F7" i="2" s="1"/>
  <c r="G7" i="2" s="1"/>
  <c r="E6" i="2"/>
  <c r="F6" i="2" s="1"/>
  <c r="G6" i="2" s="1"/>
</calcChain>
</file>

<file path=xl/sharedStrings.xml><?xml version="1.0" encoding="utf-8"?>
<sst xmlns="http://schemas.openxmlformats.org/spreadsheetml/2006/main" count="152" uniqueCount="112">
  <si>
    <t>ĐỀ XUẤT GÓI CREDIT &amp; BẢNG GIÁ — Tài Sản Đấu Giá</t>
  </si>
  <si>
    <t>Neo: 1 credit = 25.000đ • Premium • Ví tách theo role • Gói nạp COVER trọn vẹn dịch vụ • Có chiến thuật giá</t>
  </si>
  <si>
    <t>NGUYÊN TẮC</t>
  </si>
  <si>
    <t>Tỷ giá neo</t>
  </si>
  <si>
    <t>1 credit = 25.000đ</t>
  </si>
  <si>
    <t>Ví tách theo role</t>
  </si>
  <si>
    <t>Mỗi role 1 ví riêng, credit không tiêu chéo, không chuyển</t>
  </si>
  <si>
    <t>Gói COVER dịch vụ</t>
  </si>
  <si>
    <t>Tổng credit mỗi gói chia hết cho giá dịch vụ của ví → mua xong dùng trọn vẹn, không thừa lẻ</t>
  </si>
  <si>
    <t>Gói nhập môn</t>
  </si>
  <si>
    <t>Không thưởng (đúng neo 25k/cr); bậc cao thưởng tăng dần (tối đa ~20-27%)</t>
  </si>
  <si>
    <t>⚠ DỊCH VỤ ĐANG LIVE (đã chốt)</t>
  </si>
  <si>
    <t>Người mua</t>
  </si>
  <si>
    <t>Báo cáo cơ hội đấu giá — 2 credit/lượt (50k)</t>
  </si>
  <si>
    <t>Chủ tài sản</t>
  </si>
  <si>
    <t>Báo cáo danh mục — 4 credit/lượt (100k)</t>
  </si>
  <si>
    <t>Công ty đấu giá</t>
  </si>
  <si>
    <t>Xuất file hồ sơ dự tuyển — 30 credit/lần (750k)</t>
  </si>
  <si>
    <t>CHIẾN THUẬT GIÁ (xem sheet 'Chiến thuật')</t>
  </si>
  <si>
    <t>Decoy / Bom giả</t>
  </si>
  <si>
    <t>Gói mồi kém hời cạnh gói CORE → đẩy khách chọn gói core</t>
  </si>
  <si>
    <t>Anchor</t>
  </si>
  <si>
    <t>Gói cao nhất làm mỏ neo khiến gói khác trông rẻ</t>
  </si>
  <si>
    <t>Charm + Nhãn 'Phổ biến'</t>
  </si>
  <si>
    <t>Giá lẻ .499/.999 + gắn nhãn để hướng số đông về gói lợi nhuận tốt</t>
  </si>
  <si>
    <t>Upsize</t>
  </si>
  <si>
    <t>Gợi ý 'thêm X đ lên bậc trên, nhận thêm Y credit'</t>
  </si>
  <si>
    <t>GÓI CREDIT — nạp tiền theo từng VÍ (role)</t>
  </si>
  <si>
    <t>Nạp càng nhiều, thưởng càng nhiều → giá thực/credit giảm. 'Khách tiết kiệm' = % rẻ hơn giá gốc 25.000đ/cr. Mọi gói cover trọn dịch vụ.</t>
  </si>
  <si>
    <t>🔵 VÍ NGƯỜI MUA  (báo cáo cơ hội = 2 credit/lượt)</t>
  </si>
  <si>
    <t>Gói</t>
  </si>
  <si>
    <t>Giá nạp (đ)</t>
  </si>
  <si>
    <t>Credit trả tiền</t>
  </si>
  <si>
    <t>Credit thưởng</t>
  </si>
  <si>
    <t>Tổng credit</t>
  </si>
  <si>
    <t>Giá thực/credit</t>
  </si>
  <si>
    <t>Khách tiết kiệm</t>
  </si>
  <si>
    <t>Nhập Môn</t>
  </si>
  <si>
    <t>Thợ Săn Nghiệp Dư</t>
  </si>
  <si>
    <t>Thợ Săn Chuyên Nghiệp</t>
  </si>
  <si>
    <t>Thợ Săn Cao Cấp ★ PHỔ BIẾN</t>
  </si>
  <si>
    <t>Trùm Săn Tài Sản ◆ CAO CẤP NHẤT</t>
  </si>
  <si>
    <t>🟣 VÍ CHỦ TÀI SẢN  (báo cáo danh mục = 4 credit/lượt)</t>
  </si>
  <si>
    <t>Dùng Thử</t>
  </si>
  <si>
    <t>Khởi Động</t>
  </si>
  <si>
    <t>Tăng Trưởng ★ PHỔ BIẾN</t>
  </si>
  <si>
    <t>Bứt Phá ◆ CAO CẤP NHẤT</t>
  </si>
  <si>
    <t>🟠 VÍ CÔNG TY ĐẤU GIÁ  (xuất hồ sơ = 30 credit/lượt)</t>
  </si>
  <si>
    <t>Khởi Đầu</t>
  </si>
  <si>
    <t>Chuyên Nghiệp ★ PHỔ BIẾN</t>
  </si>
  <si>
    <t>Cao Cấp</t>
  </si>
  <si>
    <t>Doanh Nghiệp</t>
  </si>
  <si>
    <t>Tập Đoàn ◆ CAO CẤP NHẤT</t>
  </si>
  <si>
    <t>Chú thích: ★ PHỔ BIẾN = gói core đẩy mạnh • gói nền đỏ = decoy (bom giả, cố tình kém hời để làm nổi gói core) • ◆ = gói anchor (mỏ neo).</t>
  </si>
  <si>
    <t>DỊCH VỤ — chi phí credit theo từng VÍ (role)</t>
  </si>
  <si>
    <t>Giá VND = credit × 25.000đ. MVP = giá thử nghiệm; Chính thức = giá sau chốt. Báo cáo = pay-per-filter, LIVE.</t>
  </si>
  <si>
    <t>🔵 VÍ NGƯỜI MUA</t>
  </si>
  <si>
    <t>Dịch vụ (paywall trong code)</t>
  </si>
  <si>
    <t>Trạng thái</t>
  </si>
  <si>
    <t>Credit MVP</t>
  </si>
  <si>
    <t>Credit chính thức</t>
  </si>
  <si>
    <t>Giá mới (đ)</t>
  </si>
  <si>
    <t>Báo cáo cơ hội đấu giá — 1 lần lọc</t>
  </si>
  <si>
    <t>✓ LIVE</t>
  </si>
  <si>
    <t>Mở khóa liên hệ 1 tài sản (vĩnh viễn)</t>
  </si>
  <si>
    <t>Chưa live</t>
  </si>
  <si>
    <t>N/A</t>
  </si>
  <si>
    <t>Theo dõi công ty ĐG — 7/30/365 ngày</t>
  </si>
  <si>
    <t>Theo dõi chủ tài sản — 7/30/365 ngày</t>
  </si>
  <si>
    <t>Theo dõi nhu cầu — tuần/tháng/năm</t>
  </si>
  <si>
    <t>Deep report — tháng/quý/năm</t>
  </si>
  <si>
    <t>🟣 VÍ CHỦ TÀI SẢN</t>
  </si>
  <si>
    <t>Báo cáo danh mục — 1 lần lọc</t>
  </si>
  <si>
    <t>🟠 VÍ CÔNG TY ĐẤU GIÁ</t>
  </si>
  <si>
    <t>Xuất file hồ sơ dự tuyển (mỗi lần)</t>
  </si>
  <si>
    <t>CHIẾN THUẬT GIÁ — MKT &amp; Sale</t>
  </si>
  <si>
    <t>Các đòn bẩy tâm lý áp vào bộ gói. Áp dụng khi thiết kế UI trang nạp credit.</t>
  </si>
  <si>
    <t>Chiến thuật</t>
  </si>
  <si>
    <t>Cách hoạt động</t>
  </si>
  <si>
    <t>Áp dụng trong gói này</t>
  </si>
  <si>
    <t>Lưu ý triển khai</t>
  </si>
  <si>
    <t>Decoy (Bom giả)</t>
  </si>
  <si>
    <t>Tạo 1 gói cố tình kém hời ngay cạnh gói CORE. Khách so sánh thấy gói core 'chỉ thêm chút tiền mà lợi hơn nhiều' → chọn core.</t>
  </si>
  <si>
    <t>Đặt decoy ngay TRƯỚC gói core trên UI. Không quảng bá decoy, chỉ để 'làm nền'.</t>
  </si>
  <si>
    <t>Anchor (Mỏ neo)</t>
  </si>
  <si>
    <t>Hiển thị gói đắt nhất nổi bật/đầu tiên. Mọi gói rẻ hơn trông hợp lý đi.</t>
  </si>
  <si>
    <t>Trùm Săn 5tr / Tập Đoàn 24tr làm neo. Khách nhìn xong thấy gói core (2.5-3tr) 'vừa túi'.</t>
  </si>
  <si>
    <t>Để gói anchor ở vị trí dễ thấy; không cần kỳ vọng bán nhiều.</t>
  </si>
  <si>
    <t>Charm pricing (Giá lẻ)</t>
  </si>
  <si>
    <t>Giá .499/.999 tạo cảm giác rẻ hơn mốc tròn dù chênh nhỏ.</t>
  </si>
  <si>
    <t>2.499.000đ thay vì 2.500.000đ; 4.999.000đ thay vì 5tr.</t>
  </si>
  <si>
    <t>Áp cho các bậc cao; gói nhập môn giữ tròn để cover sạch.</t>
  </si>
  <si>
    <t>Nhãn 'Phổ biến nhất'</t>
  </si>
  <si>
    <t>Social proof — gắn nhãn để hướng số đông về gói lợi nhuận tốt cho mình.</t>
  </si>
  <si>
    <t>Gói CORE mỗi ví gắn ★ PHỔ BIẾN (Cao Cấp / Tăng Trưởng / Chuyên Nghiệp).</t>
  </si>
  <si>
    <t>Chỉ gắn nhãn cho 1 gói/ví. Làm nổi bằng màu + viền.</t>
  </si>
  <si>
    <t>Upsize / Upsell</t>
  </si>
  <si>
    <t>Tại điểm chọn gói thấp, gợi ý nâng cấp: 'thêm X đ nhận thêm Y credit + tiết kiệm Z%'.</t>
  </si>
  <si>
    <t>VD ở 'Nghiệp Dư' 500k: 'Thêm 500k lên Chuyên Nghiệp, nhận gấp đôi credit'.</t>
  </si>
  <si>
    <t>Hiện popup/banner khi hover hoặc trước thanh toán.</t>
  </si>
  <si>
    <t>Cover trọn vẹn</t>
  </si>
  <si>
    <t>Gói = đúng bội số giá dịch vụ → khách không bị thừa credit lẻ, tăng hài lòng &amp; tái nạp.</t>
  </si>
  <si>
    <t>Mọi gói chia hết cho giá dịch vụ ví đó (mua 2, chủ TS 4, công ty 30).</t>
  </si>
  <si>
    <t>Khi đổi giá dịch vụ phải rà lại tính chia hết của gói.</t>
  </si>
  <si>
    <t>Mồi nhập môn giá thấp</t>
  </si>
  <si>
    <t>Gói rẻ không thưởng để hạ rào cản thử. Lời từ tái nạp gói lớn sau.</t>
  </si>
  <si>
    <t>Nhập Môn 200k (mua) / 500k (chủ TS) / 1.5tr (công ty).</t>
  </si>
  <si>
    <t>Giới hạn mua 1 lần/tài khoản nếu cần tránh lạm dụng.</t>
  </si>
  <si>
    <t>Giá MVP (đ)</t>
  </si>
  <si>
    <t>Giá chính thức (đ)</t>
  </si>
  <si>
    <t>Thợ Săn Thực Tập</t>
  </si>
  <si>
    <t>Ví Người mua: 'Thợ Săn Chuyên Nghiệp' 2.300.000đ = 96cr đặt cạnh 'Thợ Săn Cao Cấp' 2.500.000đ = 116cr. Thêm 200k được +20cr → đẩy về Cao Cấp.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</si>
</sst>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đ"/>
  </numFmts>
  <fonts count="16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5"/>
      <color rgb="FF1A4D80"/>
      <name val="Arial"/>
      <family val="2"/>
    </font>
    <font>
      <i/>
      <sz val="10"/>
      <color rgb="FF6B728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rgb="FF1A4D80"/>
      <name val="Arial"/>
      <family val="2"/>
    </font>
    <font>
      <b/>
      <sz val="10"/>
      <color rgb="FF000000"/>
      <name val="Arial"/>
      <family val="2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i/>
      <sz val="10"/>
      <color rgb="FFDC2626"/>
      <name val="Arial"/>
      <family val="2"/>
    </font>
    <font>
      <b/>
      <sz val="10"/>
      <color rgb="FFB45309"/>
      <name val="Arial"/>
      <family val="2"/>
    </font>
    <font>
      <i/>
      <sz val="9"/>
      <color rgb="FF6B7280"/>
      <name val="Arial"/>
      <family val="2"/>
    </font>
    <font>
      <b/>
      <sz val="9"/>
      <color rgb="FF16A34A"/>
      <name val="Arial"/>
      <family val="2"/>
    </font>
    <font>
      <b/>
      <sz val="9"/>
      <color rgb="FFB45309"/>
      <name val="Arial"/>
      <family val="2"/>
    </font>
    <font>
      <b/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EEF3F8"/>
        <bgColor rgb="FFF0FDF4"/>
      </patternFill>
    </fill>
    <fill>
      <patternFill patternType="solid">
        <fgColor rgb="FF2563EB"/>
        <bgColor rgb="FF0066CC"/>
      </patternFill>
    </fill>
    <fill>
      <patternFill patternType="solid">
        <fgColor rgb="FF1A4D80"/>
        <bgColor rgb="FF003366"/>
      </patternFill>
    </fill>
    <fill>
      <patternFill patternType="solid">
        <fgColor rgb="FFFEE2E2"/>
        <bgColor rgb="FFEDE9FE"/>
      </patternFill>
    </fill>
    <fill>
      <patternFill patternType="solid">
        <fgColor rgb="FFFFF7E6"/>
        <bgColor rgb="FFFFFFFF"/>
      </patternFill>
    </fill>
    <fill>
      <patternFill patternType="solid">
        <fgColor rgb="FFEDE9FE"/>
        <bgColor rgb="FFEEF3F8"/>
      </patternFill>
    </fill>
    <fill>
      <patternFill patternType="solid">
        <fgColor rgb="FF7C3AED"/>
        <bgColor rgb="FF993366"/>
      </patternFill>
    </fill>
    <fill>
      <patternFill patternType="solid">
        <fgColor rgb="FFB45309"/>
        <bgColor rgb="FFDC2626"/>
      </patternFill>
    </fill>
    <fill>
      <patternFill patternType="solid">
        <fgColor rgb="FFF0FDF4"/>
        <bgColor rgb="FFEEF3F8"/>
      </patternFill>
    </fill>
    <fill>
      <patternFill patternType="solid">
        <fgColor rgb="FFDCFCE7"/>
        <bgColor rgb="FFF0FDF4"/>
      </patternFill>
    </fill>
    <fill>
      <patternFill patternType="solid">
        <fgColor rgb="FFFEF3C7"/>
        <bgColor rgb="FFFFF7E6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2" fillId="0" borderId="0" xfId="0" applyFont="1" applyAlignment="1">
      <alignment wrapText="1"/>
    </xf>
    <xf numFmtId="0" fontId="8" fillId="9" borderId="0" xfId="0" applyFont="1" applyFill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5" fillId="0" borderId="0" xfId="0" applyFont="1" applyAlignment="1">
      <alignment vertical="center" wrapText="1"/>
    </xf>
    <xf numFmtId="0" fontId="6" fillId="2" borderId="0" xfId="0" applyFont="1" applyFill="1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vertical="center" wrapText="1"/>
    </xf>
    <xf numFmtId="0" fontId="7" fillId="0" borderId="0" xfId="0" applyFont="1"/>
    <xf numFmtId="0" fontId="9" fillId="4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0" fontId="10" fillId="5" borderId="1" xfId="0" applyFont="1" applyFill="1" applyBorder="1" applyAlignment="1">
      <alignment horizontal="left" vertical="center" wrapText="1"/>
    </xf>
    <xf numFmtId="164" fontId="5" fillId="5" borderId="1" xfId="0" applyNumberFormat="1" applyFont="1" applyFill="1" applyBorder="1" applyAlignment="1">
      <alignment horizontal="right"/>
    </xf>
    <xf numFmtId="0" fontId="5" fillId="5" borderId="1" xfId="0" applyFont="1" applyFill="1" applyBorder="1" applyAlignment="1">
      <alignment horizontal="center"/>
    </xf>
    <xf numFmtId="9" fontId="5" fillId="5" borderId="1" xfId="0" applyNumberFormat="1" applyFont="1" applyFill="1" applyBorder="1" applyAlignment="1">
      <alignment horizontal="center"/>
    </xf>
    <xf numFmtId="0" fontId="11" fillId="6" borderId="1" xfId="0" applyFont="1" applyFill="1" applyBorder="1" applyAlignment="1">
      <alignment horizontal="left" vertical="center" wrapText="1"/>
    </xf>
    <xf numFmtId="164" fontId="5" fillId="6" borderId="1" xfId="0" applyNumberFormat="1" applyFont="1" applyFill="1" applyBorder="1" applyAlignment="1">
      <alignment horizontal="right"/>
    </xf>
    <xf numFmtId="0" fontId="5" fillId="6" borderId="1" xfId="0" applyFont="1" applyFill="1" applyBorder="1" applyAlignment="1">
      <alignment horizontal="center"/>
    </xf>
    <xf numFmtId="9" fontId="5" fillId="6" borderId="1" xfId="0" applyNumberFormat="1" applyFont="1" applyFill="1" applyBorder="1" applyAlignment="1">
      <alignment horizontal="center"/>
    </xf>
    <xf numFmtId="0" fontId="5" fillId="7" borderId="1" xfId="0" applyFont="1" applyFill="1" applyBorder="1" applyAlignment="1">
      <alignment horizontal="left" vertical="center" wrapText="1"/>
    </xf>
    <xf numFmtId="164" fontId="5" fillId="7" borderId="1" xfId="0" applyNumberFormat="1" applyFont="1" applyFill="1" applyBorder="1" applyAlignment="1">
      <alignment horizontal="right"/>
    </xf>
    <xf numFmtId="0" fontId="5" fillId="7" borderId="1" xfId="0" applyFont="1" applyFill="1" applyBorder="1" applyAlignment="1">
      <alignment horizontal="center"/>
    </xf>
    <xf numFmtId="9" fontId="5" fillId="7" borderId="1" xfId="0" applyNumberFormat="1" applyFont="1" applyFill="1" applyBorder="1" applyAlignment="1">
      <alignment horizontal="center"/>
    </xf>
    <xf numFmtId="0" fontId="5" fillId="10" borderId="1" xfId="0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/>
    </xf>
    <xf numFmtId="164" fontId="5" fillId="10" borderId="1" xfId="0" applyNumberFormat="1" applyFont="1" applyFill="1" applyBorder="1" applyAlignment="1">
      <alignment horizontal="right"/>
    </xf>
    <xf numFmtId="0" fontId="14" fillId="12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DE9FE"/>
      <rgbColor rgb="FF808080"/>
      <rgbColor rgb="FF9999FF"/>
      <rgbColor rgb="FF7C3AED"/>
      <rgbColor rgb="FFFEF3C7"/>
      <rgbColor rgb="FFDCFCE7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DF4"/>
      <rgbColor rgb="FFEEF3F8"/>
      <rgbColor rgb="FFFFF7E6"/>
      <rgbColor rgb="FF99CCFF"/>
      <rgbColor rgb="FFFF99CC"/>
      <rgbColor rgb="FFCC99FF"/>
      <rgbColor rgb="FFFEE2E2"/>
      <rgbColor rgb="FF2563EB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16A34A"/>
      <rgbColor rgb="FF003300"/>
      <rgbColor rgb="FF333300"/>
      <rgbColor rgb="FFB45309"/>
      <rgbColor rgb="FF993366"/>
      <rgbColor rgb="FF1A4D8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zoomScaleNormal="100" workbookViewId="0">
      <selection activeCell="D22" sqref="D22"/>
    </sheetView>
  </sheetViews>
  <sheetFormatPr baseColWidth="10" defaultColWidth="8.6640625" defaultRowHeight="15" x14ac:dyDescent="0.2"/>
  <cols>
    <col min="1" max="1" width="26" customWidth="1"/>
    <col min="2" max="6" width="24" customWidth="1"/>
  </cols>
  <sheetData>
    <row r="1" spans="1:6" ht="33.75" customHeight="1" x14ac:dyDescent="0.2">
      <c r="A1" s="8" t="s">
        <v>0</v>
      </c>
      <c r="B1" s="8"/>
      <c r="C1" s="8"/>
      <c r="D1" s="8"/>
      <c r="E1" s="8"/>
      <c r="F1" s="8"/>
    </row>
    <row r="2" spans="1:6" ht="27.75" customHeight="1" x14ac:dyDescent="0.2">
      <c r="A2" s="7" t="s">
        <v>1</v>
      </c>
      <c r="B2" s="7"/>
      <c r="C2" s="7"/>
      <c r="D2" s="7"/>
      <c r="E2" s="7"/>
      <c r="F2" s="7"/>
    </row>
    <row r="4" spans="1:6" ht="19.5" customHeight="1" x14ac:dyDescent="0.2">
      <c r="A4" s="9"/>
      <c r="B4" s="10"/>
    </row>
    <row r="5" spans="1:6" ht="19.5" customHeight="1" x14ac:dyDescent="0.2">
      <c r="A5" s="6" t="s">
        <v>2</v>
      </c>
      <c r="B5" s="6"/>
      <c r="C5" s="6"/>
      <c r="D5" s="6"/>
      <c r="E5" s="6"/>
      <c r="F5" s="6"/>
    </row>
    <row r="6" spans="1:6" ht="19.5" customHeight="1" x14ac:dyDescent="0.2">
      <c r="A6" s="11" t="s">
        <v>3</v>
      </c>
      <c r="B6" s="5" t="s">
        <v>4</v>
      </c>
      <c r="C6" s="5"/>
      <c r="D6" s="5"/>
      <c r="E6" s="5"/>
      <c r="F6" s="5"/>
    </row>
    <row r="7" spans="1:6" ht="19.5" customHeight="1" x14ac:dyDescent="0.2">
      <c r="A7" s="11" t="s">
        <v>5</v>
      </c>
      <c r="B7" s="5" t="s">
        <v>6</v>
      </c>
      <c r="C7" s="5"/>
      <c r="D7" s="5"/>
      <c r="E7" s="5"/>
      <c r="F7" s="5"/>
    </row>
    <row r="8" spans="1:6" ht="31.5" customHeight="1" x14ac:dyDescent="0.2">
      <c r="A8" s="11" t="s">
        <v>7</v>
      </c>
      <c r="B8" s="5" t="s">
        <v>8</v>
      </c>
      <c r="C8" s="5"/>
      <c r="D8" s="5"/>
      <c r="E8" s="5"/>
      <c r="F8" s="5"/>
    </row>
    <row r="9" spans="1:6" ht="19.5" customHeight="1" x14ac:dyDescent="0.2">
      <c r="A9" s="11" t="s">
        <v>9</v>
      </c>
      <c r="B9" s="5" t="s">
        <v>10</v>
      </c>
      <c r="C9" s="5"/>
      <c r="D9" s="5"/>
      <c r="E9" s="5"/>
      <c r="F9" s="5"/>
    </row>
    <row r="10" spans="1:6" ht="19.5" customHeight="1" x14ac:dyDescent="0.2">
      <c r="A10" s="9"/>
      <c r="B10" s="10"/>
    </row>
    <row r="11" spans="1:6" ht="19.5" customHeight="1" x14ac:dyDescent="0.2">
      <c r="A11" s="6" t="s">
        <v>11</v>
      </c>
      <c r="B11" s="6"/>
      <c r="C11" s="6"/>
      <c r="D11" s="6"/>
      <c r="E11" s="6"/>
      <c r="F11" s="6"/>
    </row>
    <row r="12" spans="1:6" ht="19.5" customHeight="1" x14ac:dyDescent="0.2">
      <c r="A12" s="11" t="s">
        <v>12</v>
      </c>
      <c r="B12" s="5" t="s">
        <v>13</v>
      </c>
      <c r="C12" s="5"/>
      <c r="D12" s="5"/>
      <c r="E12" s="5"/>
      <c r="F12" s="5"/>
    </row>
    <row r="13" spans="1:6" ht="19.5" customHeight="1" x14ac:dyDescent="0.2">
      <c r="A13" s="11" t="s">
        <v>14</v>
      </c>
      <c r="B13" s="5" t="s">
        <v>15</v>
      </c>
      <c r="C13" s="5"/>
      <c r="D13" s="5"/>
      <c r="E13" s="5"/>
      <c r="F13" s="5"/>
    </row>
    <row r="14" spans="1:6" ht="19.5" customHeight="1" x14ac:dyDescent="0.2">
      <c r="A14" s="11" t="s">
        <v>16</v>
      </c>
      <c r="B14" s="5" t="s">
        <v>17</v>
      </c>
      <c r="C14" s="5"/>
      <c r="D14" s="5"/>
      <c r="E14" s="5"/>
      <c r="F14" s="5"/>
    </row>
    <row r="15" spans="1:6" ht="19.5" customHeight="1" x14ac:dyDescent="0.2">
      <c r="A15" s="9"/>
      <c r="B15" s="10"/>
    </row>
    <row r="16" spans="1:6" ht="19.5" customHeight="1" x14ac:dyDescent="0.2">
      <c r="A16" s="6" t="s">
        <v>18</v>
      </c>
      <c r="B16" s="6"/>
      <c r="C16" s="6"/>
      <c r="D16" s="6"/>
      <c r="E16" s="6"/>
      <c r="F16" s="6"/>
    </row>
    <row r="17" spans="1:6" ht="19.5" customHeight="1" x14ac:dyDescent="0.2">
      <c r="A17" s="11" t="s">
        <v>19</v>
      </c>
      <c r="B17" s="5" t="s">
        <v>20</v>
      </c>
      <c r="C17" s="5"/>
      <c r="D17" s="5"/>
      <c r="E17" s="5"/>
      <c r="F17" s="5"/>
    </row>
    <row r="18" spans="1:6" ht="19.5" customHeight="1" x14ac:dyDescent="0.2">
      <c r="A18" s="11" t="s">
        <v>21</v>
      </c>
      <c r="B18" s="5" t="s">
        <v>22</v>
      </c>
      <c r="C18" s="5"/>
      <c r="D18" s="5"/>
      <c r="E18" s="5"/>
      <c r="F18" s="5"/>
    </row>
    <row r="19" spans="1:6" ht="19.5" customHeight="1" x14ac:dyDescent="0.2">
      <c r="A19" s="11" t="s">
        <v>23</v>
      </c>
      <c r="B19" s="5" t="s">
        <v>24</v>
      </c>
      <c r="C19" s="5"/>
      <c r="D19" s="5"/>
      <c r="E19" s="5"/>
      <c r="F19" s="5"/>
    </row>
    <row r="20" spans="1:6" ht="19.5" customHeight="1" x14ac:dyDescent="0.2">
      <c r="A20" s="11" t="s">
        <v>25</v>
      </c>
      <c r="B20" s="5" t="s">
        <v>26</v>
      </c>
      <c r="C20" s="5"/>
      <c r="D20" s="5"/>
      <c r="E20" s="5"/>
      <c r="F20" s="5"/>
    </row>
  </sheetData>
  <mergeCells count="16">
    <mergeCell ref="B20:F20"/>
    <mergeCell ref="B14:F14"/>
    <mergeCell ref="A16:F16"/>
    <mergeCell ref="B17:F17"/>
    <mergeCell ref="B18:F18"/>
    <mergeCell ref="B19:F19"/>
    <mergeCell ref="B8:F8"/>
    <mergeCell ref="B9:F9"/>
    <mergeCell ref="A11:F11"/>
    <mergeCell ref="B12:F12"/>
    <mergeCell ref="B13:F13"/>
    <mergeCell ref="A1:F1"/>
    <mergeCell ref="A2:F2"/>
    <mergeCell ref="A5:F5"/>
    <mergeCell ref="B6:F6"/>
    <mergeCell ref="B7:F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tabSelected="1" zoomScaleNormal="100" workbookViewId="0">
      <selection activeCell="I14" sqref="I14"/>
    </sheetView>
  </sheetViews>
  <sheetFormatPr baseColWidth="10" defaultColWidth="8.6640625" defaultRowHeight="15" x14ac:dyDescent="0.2"/>
  <cols>
    <col min="1" max="1" width="26" customWidth="1"/>
    <col min="2" max="2" width="14" customWidth="1"/>
    <col min="3" max="4" width="13" customWidth="1"/>
    <col min="5" max="5" width="12" customWidth="1"/>
    <col min="6" max="7" width="15" customWidth="1"/>
  </cols>
  <sheetData>
    <row r="1" spans="1:7" ht="33.75" customHeight="1" x14ac:dyDescent="0.2">
      <c r="A1" s="8" t="s">
        <v>27</v>
      </c>
      <c r="B1" s="8"/>
      <c r="C1" s="8"/>
      <c r="D1" s="8"/>
      <c r="E1" s="8"/>
      <c r="F1" s="8"/>
      <c r="G1" s="8"/>
    </row>
    <row r="2" spans="1:7" ht="27.75" customHeight="1" x14ac:dyDescent="0.2">
      <c r="A2" s="7" t="s">
        <v>28</v>
      </c>
      <c r="B2" s="7"/>
      <c r="C2" s="7"/>
      <c r="D2" s="7"/>
      <c r="E2" s="7"/>
      <c r="F2" s="7"/>
      <c r="G2" s="7"/>
    </row>
    <row r="4" spans="1:7" ht="25.5" customHeight="1" x14ac:dyDescent="0.2">
      <c r="A4" s="4" t="s">
        <v>29</v>
      </c>
      <c r="B4" s="4"/>
      <c r="C4" s="4"/>
      <c r="D4" s="4"/>
      <c r="E4" s="4"/>
      <c r="F4" s="4"/>
      <c r="G4" s="4"/>
    </row>
    <row r="5" spans="1:7" ht="30" customHeight="1" x14ac:dyDescent="0.2">
      <c r="A5" s="12" t="s">
        <v>30</v>
      </c>
      <c r="B5" s="12" t="s">
        <v>31</v>
      </c>
      <c r="C5" s="12" t="s">
        <v>32</v>
      </c>
      <c r="D5" s="12" t="s">
        <v>33</v>
      </c>
      <c r="E5" s="12" t="s">
        <v>34</v>
      </c>
      <c r="F5" s="12" t="s">
        <v>35</v>
      </c>
      <c r="G5" s="12" t="s">
        <v>36</v>
      </c>
    </row>
    <row r="6" spans="1:7" x14ac:dyDescent="0.2">
      <c r="A6" s="13" t="s">
        <v>37</v>
      </c>
      <c r="B6" s="14">
        <v>200000</v>
      </c>
      <c r="C6" s="15">
        <v>8</v>
      </c>
      <c r="D6" s="15">
        <v>0</v>
      </c>
      <c r="E6" s="15">
        <f t="shared" ref="E6:E11" si="0">C6+D6</f>
        <v>8</v>
      </c>
      <c r="F6" s="14">
        <f t="shared" ref="F6:F11" si="1">B6/E6</f>
        <v>25000</v>
      </c>
      <c r="G6" s="16">
        <f t="shared" ref="G6:G11" si="2">ROUND(1-F6/25000,2)</f>
        <v>0</v>
      </c>
    </row>
    <row r="7" spans="1:7" x14ac:dyDescent="0.2">
      <c r="A7" s="36" t="s">
        <v>110</v>
      </c>
      <c r="B7" s="14">
        <v>500000</v>
      </c>
      <c r="C7" s="15">
        <v>20</v>
      </c>
      <c r="D7" s="15">
        <v>2</v>
      </c>
      <c r="E7" s="15">
        <f t="shared" si="0"/>
        <v>22</v>
      </c>
      <c r="F7" s="14">
        <f t="shared" si="1"/>
        <v>22727.272727272728</v>
      </c>
      <c r="G7" s="16">
        <f t="shared" si="2"/>
        <v>0.09</v>
      </c>
    </row>
    <row r="8" spans="1:7" x14ac:dyDescent="0.2">
      <c r="A8" s="13" t="s">
        <v>38</v>
      </c>
      <c r="B8" s="14">
        <v>1000000</v>
      </c>
      <c r="C8" s="15">
        <v>40</v>
      </c>
      <c r="D8" s="15">
        <v>4</v>
      </c>
      <c r="E8" s="15">
        <f t="shared" si="0"/>
        <v>44</v>
      </c>
      <c r="F8" s="14">
        <f t="shared" si="1"/>
        <v>22727.272727272728</v>
      </c>
      <c r="G8" s="16">
        <f t="shared" si="2"/>
        <v>0.09</v>
      </c>
    </row>
    <row r="9" spans="1:7" x14ac:dyDescent="0.2">
      <c r="A9" s="17" t="s">
        <v>39</v>
      </c>
      <c r="B9" s="18">
        <v>2300000</v>
      </c>
      <c r="C9" s="19">
        <v>92</v>
      </c>
      <c r="D9" s="19">
        <v>4</v>
      </c>
      <c r="E9" s="19">
        <f t="shared" si="0"/>
        <v>96</v>
      </c>
      <c r="F9" s="18">
        <f t="shared" si="1"/>
        <v>23958.333333333332</v>
      </c>
      <c r="G9" s="20">
        <f t="shared" si="2"/>
        <v>0.04</v>
      </c>
    </row>
    <row r="10" spans="1:7" ht="28" x14ac:dyDescent="0.2">
      <c r="A10" s="21" t="s">
        <v>40</v>
      </c>
      <c r="B10" s="22">
        <v>2500000</v>
      </c>
      <c r="C10" s="23">
        <v>100</v>
      </c>
      <c r="D10" s="23">
        <v>16</v>
      </c>
      <c r="E10" s="23">
        <f t="shared" si="0"/>
        <v>116</v>
      </c>
      <c r="F10" s="22">
        <f t="shared" si="1"/>
        <v>21551.724137931036</v>
      </c>
      <c r="G10" s="24">
        <f t="shared" si="2"/>
        <v>0.14000000000000001</v>
      </c>
    </row>
    <row r="11" spans="1:7" ht="28" x14ac:dyDescent="0.2">
      <c r="A11" s="25" t="s">
        <v>41</v>
      </c>
      <c r="B11" s="26">
        <v>5000000</v>
      </c>
      <c r="C11" s="27">
        <v>200</v>
      </c>
      <c r="D11" s="27">
        <v>50</v>
      </c>
      <c r="E11" s="27">
        <f t="shared" si="0"/>
        <v>250</v>
      </c>
      <c r="F11" s="26">
        <f t="shared" si="1"/>
        <v>20000</v>
      </c>
      <c r="G11" s="28">
        <f t="shared" si="2"/>
        <v>0.2</v>
      </c>
    </row>
    <row r="13" spans="1:7" ht="25.5" customHeight="1" x14ac:dyDescent="0.2">
      <c r="A13" s="3" t="s">
        <v>42</v>
      </c>
      <c r="B13" s="3"/>
      <c r="C13" s="3"/>
      <c r="D13" s="3"/>
      <c r="E13" s="3"/>
      <c r="F13" s="3"/>
      <c r="G13" s="3"/>
    </row>
    <row r="14" spans="1:7" ht="30" customHeight="1" x14ac:dyDescent="0.2">
      <c r="A14" s="12" t="s">
        <v>30</v>
      </c>
      <c r="B14" s="12" t="s">
        <v>31</v>
      </c>
      <c r="C14" s="12" t="s">
        <v>32</v>
      </c>
      <c r="D14" s="12" t="s">
        <v>33</v>
      </c>
      <c r="E14" s="12" t="s">
        <v>34</v>
      </c>
      <c r="F14" s="12" t="s">
        <v>35</v>
      </c>
      <c r="G14" s="12" t="s">
        <v>36</v>
      </c>
    </row>
    <row r="15" spans="1:7" x14ac:dyDescent="0.2">
      <c r="A15" s="13" t="s">
        <v>43</v>
      </c>
      <c r="B15" s="14">
        <v>500000</v>
      </c>
      <c r="C15" s="15">
        <v>20</v>
      </c>
      <c r="D15" s="15">
        <v>0</v>
      </c>
      <c r="E15" s="15">
        <f>C15+D15</f>
        <v>20</v>
      </c>
      <c r="F15" s="14">
        <f>B15/E15</f>
        <v>25000</v>
      </c>
      <c r="G15" s="16">
        <f>ROUND(1-F15/25000,2)</f>
        <v>0</v>
      </c>
    </row>
    <row r="16" spans="1:7" x14ac:dyDescent="0.2">
      <c r="A16" s="13" t="s">
        <v>44</v>
      </c>
      <c r="B16" s="14">
        <v>1000000</v>
      </c>
      <c r="C16" s="15">
        <v>40</v>
      </c>
      <c r="D16" s="15">
        <v>4</v>
      </c>
      <c r="E16" s="15">
        <f>C16+D16</f>
        <v>44</v>
      </c>
      <c r="F16" s="14">
        <f>B16/E16</f>
        <v>22727.272727272728</v>
      </c>
      <c r="G16" s="16">
        <f>ROUND(1-F16/25000,2)</f>
        <v>0.09</v>
      </c>
    </row>
    <row r="17" spans="1:7" x14ac:dyDescent="0.2">
      <c r="A17" s="21" t="s">
        <v>45</v>
      </c>
      <c r="B17" s="22">
        <v>2500000</v>
      </c>
      <c r="C17" s="23">
        <v>100</v>
      </c>
      <c r="D17" s="23">
        <v>12</v>
      </c>
      <c r="E17" s="23">
        <f>C17+D17</f>
        <v>112</v>
      </c>
      <c r="F17" s="22">
        <f>B17/E17</f>
        <v>22321.428571428572</v>
      </c>
      <c r="G17" s="24">
        <f>ROUND(1-F17/25000,2)</f>
        <v>0.11</v>
      </c>
    </row>
    <row r="18" spans="1:7" x14ac:dyDescent="0.2">
      <c r="A18" s="25" t="s">
        <v>46</v>
      </c>
      <c r="B18" s="26">
        <v>5000000</v>
      </c>
      <c r="C18" s="27">
        <v>200</v>
      </c>
      <c r="D18" s="27">
        <v>40</v>
      </c>
      <c r="E18" s="27">
        <f>C18+D18</f>
        <v>240</v>
      </c>
      <c r="F18" s="26">
        <f>B18/E18</f>
        <v>20833.333333333332</v>
      </c>
      <c r="G18" s="28">
        <f>ROUND(1-F18/25000,2)</f>
        <v>0.17</v>
      </c>
    </row>
    <row r="20" spans="1:7" ht="25.5" customHeight="1" x14ac:dyDescent="0.2">
      <c r="A20" s="2" t="s">
        <v>47</v>
      </c>
      <c r="B20" s="2"/>
      <c r="C20" s="2"/>
      <c r="D20" s="2"/>
      <c r="E20" s="2"/>
      <c r="F20" s="2"/>
      <c r="G20" s="2"/>
    </row>
    <row r="21" spans="1:7" ht="30" customHeight="1" x14ac:dyDescent="0.2">
      <c r="A21" s="12" t="s">
        <v>30</v>
      </c>
      <c r="B21" s="12" t="s">
        <v>31</v>
      </c>
      <c r="C21" s="12" t="s">
        <v>32</v>
      </c>
      <c r="D21" s="12" t="s">
        <v>33</v>
      </c>
      <c r="E21" s="12" t="s">
        <v>34</v>
      </c>
      <c r="F21" s="12" t="s">
        <v>35</v>
      </c>
      <c r="G21" s="12" t="s">
        <v>36</v>
      </c>
    </row>
    <row r="22" spans="1:7" x14ac:dyDescent="0.2">
      <c r="A22" s="13" t="s">
        <v>48</v>
      </c>
      <c r="B22" s="14">
        <v>1500000</v>
      </c>
      <c r="C22" s="15">
        <v>60</v>
      </c>
      <c r="D22" s="15">
        <v>0</v>
      </c>
      <c r="E22" s="15">
        <f>C22+D22</f>
        <v>60</v>
      </c>
      <c r="F22" s="14">
        <f>B22/E22</f>
        <v>25000</v>
      </c>
      <c r="G22" s="16">
        <f>ROUND(1-F22/25000,2)</f>
        <v>0</v>
      </c>
    </row>
    <row r="23" spans="1:7" x14ac:dyDescent="0.2">
      <c r="A23" s="21" t="s">
        <v>49</v>
      </c>
      <c r="B23" s="22">
        <v>3000000</v>
      </c>
      <c r="C23" s="23">
        <v>120</v>
      </c>
      <c r="D23" s="23">
        <v>30</v>
      </c>
      <c r="E23" s="23">
        <f>C23+D23</f>
        <v>150</v>
      </c>
      <c r="F23" s="22">
        <f>B23/E23</f>
        <v>20000</v>
      </c>
      <c r="G23" s="24">
        <f>ROUND(1-F23/25000,2)</f>
        <v>0.2</v>
      </c>
    </row>
    <row r="24" spans="1:7" x14ac:dyDescent="0.2">
      <c r="A24" s="13" t="s">
        <v>50</v>
      </c>
      <c r="B24" s="14">
        <v>6000000</v>
      </c>
      <c r="C24" s="15">
        <v>240</v>
      </c>
      <c r="D24" s="15">
        <v>60</v>
      </c>
      <c r="E24" s="15">
        <f>C24+D24</f>
        <v>300</v>
      </c>
      <c r="F24" s="14">
        <f>B24/E24</f>
        <v>20000</v>
      </c>
      <c r="G24" s="16">
        <f>ROUND(1-F24/25000,2)</f>
        <v>0.2</v>
      </c>
    </row>
    <row r="25" spans="1:7" x14ac:dyDescent="0.2">
      <c r="A25" s="13" t="s">
        <v>51</v>
      </c>
      <c r="B25" s="14">
        <v>12000000</v>
      </c>
      <c r="C25" s="15">
        <v>480</v>
      </c>
      <c r="D25" s="15">
        <v>120</v>
      </c>
      <c r="E25" s="15">
        <f>C25+D25</f>
        <v>600</v>
      </c>
      <c r="F25" s="14">
        <f>B25/E25</f>
        <v>20000</v>
      </c>
      <c r="G25" s="16">
        <f>ROUND(1-F25/25000,2)</f>
        <v>0.2</v>
      </c>
    </row>
    <row r="26" spans="1:7" x14ac:dyDescent="0.2">
      <c r="A26" s="25" t="s">
        <v>52</v>
      </c>
      <c r="B26" s="26">
        <v>24000000</v>
      </c>
      <c r="C26" s="27">
        <v>960</v>
      </c>
      <c r="D26" s="27">
        <v>360</v>
      </c>
      <c r="E26" s="27">
        <f>C26+D26</f>
        <v>1320</v>
      </c>
      <c r="F26" s="26">
        <f>B26/E26</f>
        <v>18181.81818181818</v>
      </c>
      <c r="G26" s="28">
        <f>ROUND(1-F26/25000,2)</f>
        <v>0.27</v>
      </c>
    </row>
    <row r="28" spans="1:7" ht="22.25" customHeight="1" x14ac:dyDescent="0.2">
      <c r="A28" s="1" t="s">
        <v>53</v>
      </c>
      <c r="B28" s="1"/>
      <c r="C28" s="1"/>
      <c r="D28" s="1"/>
      <c r="E28" s="1"/>
      <c r="F28" s="1"/>
      <c r="G28" s="1"/>
    </row>
  </sheetData>
  <mergeCells count="6">
    <mergeCell ref="A28:G28"/>
    <mergeCell ref="A1:G1"/>
    <mergeCell ref="A2:G2"/>
    <mergeCell ref="A4:G4"/>
    <mergeCell ref="A13:G13"/>
    <mergeCell ref="A20:G2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zoomScaleNormal="100" workbookViewId="0">
      <selection activeCell="I13" sqref="I13"/>
    </sheetView>
  </sheetViews>
  <sheetFormatPr baseColWidth="10" defaultColWidth="8.6640625" defaultRowHeight="15" x14ac:dyDescent="0.2"/>
  <cols>
    <col min="1" max="1" width="36" customWidth="1"/>
    <col min="2" max="3" width="12" customWidth="1"/>
    <col min="4" max="4" width="14" customWidth="1"/>
    <col min="5" max="5" width="22.33203125" customWidth="1"/>
    <col min="6" max="6" width="19.5" customWidth="1"/>
  </cols>
  <sheetData>
    <row r="1" spans="1:6" ht="33.75" customHeight="1" x14ac:dyDescent="0.2">
      <c r="A1" s="8" t="s">
        <v>54</v>
      </c>
      <c r="B1" s="8"/>
      <c r="C1" s="8"/>
      <c r="D1" s="8"/>
      <c r="E1" s="8"/>
      <c r="F1" s="8"/>
    </row>
    <row r="2" spans="1:6" ht="27.75" customHeight="1" x14ac:dyDescent="0.2">
      <c r="A2" s="7" t="s">
        <v>55</v>
      </c>
      <c r="B2" s="7"/>
      <c r="C2" s="7"/>
      <c r="D2" s="7"/>
      <c r="E2" s="7"/>
      <c r="F2" s="7"/>
    </row>
    <row r="4" spans="1:6" ht="25.5" customHeight="1" x14ac:dyDescent="0.2">
      <c r="A4" s="4" t="s">
        <v>56</v>
      </c>
      <c r="B4" s="4"/>
      <c r="C4" s="4"/>
      <c r="D4" s="4"/>
      <c r="E4" s="4"/>
      <c r="F4" s="4"/>
    </row>
    <row r="5" spans="1:6" ht="30" customHeight="1" x14ac:dyDescent="0.2">
      <c r="A5" s="12" t="s">
        <v>57</v>
      </c>
      <c r="B5" s="12" t="s">
        <v>58</v>
      </c>
      <c r="C5" s="12" t="s">
        <v>59</v>
      </c>
      <c r="D5" s="12" t="s">
        <v>108</v>
      </c>
      <c r="E5" s="12" t="s">
        <v>60</v>
      </c>
      <c r="F5" s="12" t="s">
        <v>109</v>
      </c>
    </row>
    <row r="6" spans="1:6" x14ac:dyDescent="0.2">
      <c r="A6" s="29" t="s">
        <v>62</v>
      </c>
      <c r="B6" s="30" t="s">
        <v>63</v>
      </c>
      <c r="C6" s="31">
        <v>1</v>
      </c>
      <c r="D6" s="32">
        <f>C6*25000</f>
        <v>25000</v>
      </c>
      <c r="E6" s="31">
        <v>2</v>
      </c>
      <c r="F6" s="32">
        <f>E6*25000</f>
        <v>50000</v>
      </c>
    </row>
    <row r="7" spans="1:6" x14ac:dyDescent="0.2">
      <c r="A7" s="13" t="s">
        <v>64</v>
      </c>
      <c r="B7" s="33" t="s">
        <v>65</v>
      </c>
      <c r="C7" s="15" t="s">
        <v>66</v>
      </c>
      <c r="D7" s="14">
        <v>0</v>
      </c>
      <c r="E7" s="15" t="s">
        <v>66</v>
      </c>
      <c r="F7" s="14">
        <v>0</v>
      </c>
    </row>
    <row r="8" spans="1:6" x14ac:dyDescent="0.2">
      <c r="A8" s="13" t="s">
        <v>67</v>
      </c>
      <c r="B8" s="33" t="s">
        <v>65</v>
      </c>
      <c r="C8" s="15" t="s">
        <v>66</v>
      </c>
      <c r="D8" s="14">
        <v>0</v>
      </c>
      <c r="E8" s="15" t="s">
        <v>66</v>
      </c>
      <c r="F8" s="14">
        <v>0</v>
      </c>
    </row>
    <row r="9" spans="1:6" x14ac:dyDescent="0.2">
      <c r="A9" s="13" t="s">
        <v>68</v>
      </c>
      <c r="B9" s="33" t="s">
        <v>65</v>
      </c>
      <c r="C9" s="15" t="s">
        <v>66</v>
      </c>
      <c r="D9" s="14">
        <v>0</v>
      </c>
      <c r="E9" s="15" t="s">
        <v>66</v>
      </c>
      <c r="F9" s="14">
        <v>0</v>
      </c>
    </row>
    <row r="10" spans="1:6" x14ac:dyDescent="0.2">
      <c r="A10" s="13" t="s">
        <v>69</v>
      </c>
      <c r="B10" s="33" t="s">
        <v>65</v>
      </c>
      <c r="C10" s="15" t="s">
        <v>66</v>
      </c>
      <c r="D10" s="14">
        <v>0</v>
      </c>
      <c r="E10" s="15" t="s">
        <v>66</v>
      </c>
      <c r="F10" s="14">
        <v>0</v>
      </c>
    </row>
    <row r="11" spans="1:6" x14ac:dyDescent="0.2">
      <c r="A11" s="13" t="s">
        <v>70</v>
      </c>
      <c r="B11" s="33" t="s">
        <v>65</v>
      </c>
      <c r="C11" s="15" t="s">
        <v>66</v>
      </c>
      <c r="D11" s="14">
        <v>0</v>
      </c>
      <c r="E11" s="15" t="s">
        <v>66</v>
      </c>
      <c r="F11" s="14">
        <v>0</v>
      </c>
    </row>
    <row r="13" spans="1:6" ht="25.5" customHeight="1" x14ac:dyDescent="0.2">
      <c r="A13" s="3" t="s">
        <v>71</v>
      </c>
      <c r="B13" s="3"/>
      <c r="C13" s="3"/>
      <c r="D13" s="3"/>
      <c r="E13" s="3"/>
      <c r="F13" s="3"/>
    </row>
    <row r="14" spans="1:6" ht="30" customHeight="1" x14ac:dyDescent="0.2">
      <c r="A14" s="12" t="s">
        <v>57</v>
      </c>
      <c r="B14" s="12" t="s">
        <v>58</v>
      </c>
      <c r="C14" s="12" t="s">
        <v>59</v>
      </c>
      <c r="D14" s="12" t="s">
        <v>61</v>
      </c>
      <c r="E14" s="12" t="s">
        <v>60</v>
      </c>
      <c r="F14" s="12" t="s">
        <v>61</v>
      </c>
    </row>
    <row r="15" spans="1:6" x14ac:dyDescent="0.2">
      <c r="A15" s="29" t="s">
        <v>72</v>
      </c>
      <c r="B15" s="30" t="s">
        <v>63</v>
      </c>
      <c r="C15" s="31">
        <v>1</v>
      </c>
      <c r="D15" s="32">
        <f>C15*25000</f>
        <v>25000</v>
      </c>
      <c r="E15" s="31">
        <v>4</v>
      </c>
      <c r="F15" s="32">
        <f>E15*25000</f>
        <v>100000</v>
      </c>
    </row>
    <row r="17" spans="1:6" ht="25.5" customHeight="1" x14ac:dyDescent="0.2">
      <c r="A17" s="2" t="s">
        <v>73</v>
      </c>
      <c r="B17" s="2"/>
      <c r="C17" s="2"/>
      <c r="D17" s="2"/>
      <c r="E17" s="2"/>
      <c r="F17" s="2"/>
    </row>
    <row r="18" spans="1:6" ht="30" customHeight="1" x14ac:dyDescent="0.2">
      <c r="A18" s="12" t="s">
        <v>57</v>
      </c>
      <c r="B18" s="12" t="s">
        <v>58</v>
      </c>
      <c r="C18" s="12" t="s">
        <v>59</v>
      </c>
      <c r="D18" s="12" t="s">
        <v>61</v>
      </c>
      <c r="E18" s="12" t="s">
        <v>60</v>
      </c>
      <c r="F18" s="12" t="s">
        <v>61</v>
      </c>
    </row>
    <row r="19" spans="1:6" x14ac:dyDescent="0.2">
      <c r="A19" s="29" t="s">
        <v>74</v>
      </c>
      <c r="B19" s="30" t="s">
        <v>63</v>
      </c>
      <c r="C19" s="31">
        <v>10</v>
      </c>
      <c r="D19" s="32">
        <f>C19*25000</f>
        <v>250000</v>
      </c>
      <c r="E19" s="31">
        <v>30</v>
      </c>
      <c r="F19" s="32">
        <f>E19*25000</f>
        <v>750000</v>
      </c>
    </row>
  </sheetData>
  <mergeCells count="5">
    <mergeCell ref="A1:F1"/>
    <mergeCell ref="A2:F2"/>
    <mergeCell ref="A4:F4"/>
    <mergeCell ref="A13:F13"/>
    <mergeCell ref="A17:F1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zoomScaleNormal="100" workbookViewId="0">
      <selection activeCell="D9" sqref="D9"/>
    </sheetView>
  </sheetViews>
  <sheetFormatPr baseColWidth="10" defaultColWidth="8.6640625" defaultRowHeight="15" x14ac:dyDescent="0.2"/>
  <cols>
    <col min="1" max="1" width="20" customWidth="1"/>
    <col min="2" max="2" width="40" customWidth="1"/>
    <col min="3" max="3" width="44" customWidth="1"/>
    <col min="4" max="4" width="34" customWidth="1"/>
  </cols>
  <sheetData>
    <row r="1" spans="1:4" ht="33.75" customHeight="1" x14ac:dyDescent="0.2">
      <c r="A1" s="8" t="s">
        <v>75</v>
      </c>
      <c r="B1" s="8"/>
      <c r="C1" s="8"/>
      <c r="D1" s="8"/>
    </row>
    <row r="2" spans="1:4" ht="27.75" customHeight="1" x14ac:dyDescent="0.2">
      <c r="A2" s="7" t="s">
        <v>76</v>
      </c>
      <c r="B2" s="7"/>
      <c r="C2" s="7"/>
      <c r="D2" s="7"/>
    </row>
    <row r="4" spans="1:4" ht="30" customHeight="1" x14ac:dyDescent="0.2">
      <c r="A4" s="12" t="s">
        <v>77</v>
      </c>
      <c r="B4" s="12" t="s">
        <v>78</v>
      </c>
      <c r="C4" s="12" t="s">
        <v>79</v>
      </c>
      <c r="D4" s="12" t="s">
        <v>80</v>
      </c>
    </row>
    <row r="5" spans="1:4" ht="69.75" customHeight="1" x14ac:dyDescent="0.2">
      <c r="A5" s="34" t="s">
        <v>81</v>
      </c>
      <c r="B5" s="35" t="s">
        <v>82</v>
      </c>
      <c r="C5" s="37" t="s">
        <v>111</v>
      </c>
      <c r="D5" s="35" t="s">
        <v>83</v>
      </c>
    </row>
    <row r="6" spans="1:4" ht="69.75" customHeight="1" x14ac:dyDescent="0.2">
      <c r="A6" s="34" t="s">
        <v>84</v>
      </c>
      <c r="B6" s="35" t="s">
        <v>85</v>
      </c>
      <c r="C6" s="35" t="s">
        <v>86</v>
      </c>
      <c r="D6" s="35" t="s">
        <v>87</v>
      </c>
    </row>
    <row r="7" spans="1:4" ht="69.75" customHeight="1" x14ac:dyDescent="0.2">
      <c r="A7" s="34" t="s">
        <v>88</v>
      </c>
      <c r="B7" s="35" t="s">
        <v>89</v>
      </c>
      <c r="C7" s="35" t="s">
        <v>90</v>
      </c>
      <c r="D7" s="35" t="s">
        <v>91</v>
      </c>
    </row>
    <row r="8" spans="1:4" ht="69.75" customHeight="1" x14ac:dyDescent="0.2">
      <c r="A8" s="34" t="s">
        <v>92</v>
      </c>
      <c r="B8" s="35" t="s">
        <v>93</v>
      </c>
      <c r="C8" s="35" t="s">
        <v>94</v>
      </c>
      <c r="D8" s="35" t="s">
        <v>95</v>
      </c>
    </row>
    <row r="9" spans="1:4" ht="69.75" customHeight="1" x14ac:dyDescent="0.2">
      <c r="A9" s="34" t="s">
        <v>96</v>
      </c>
      <c r="B9" s="35" t="s">
        <v>97</v>
      </c>
      <c r="C9" s="35" t="s">
        <v>98</v>
      </c>
      <c r="D9" s="35" t="s">
        <v>99</v>
      </c>
    </row>
    <row r="10" spans="1:4" ht="69.75" customHeight="1" x14ac:dyDescent="0.2">
      <c r="A10" s="34" t="s">
        <v>100</v>
      </c>
      <c r="B10" s="35" t="s">
        <v>101</v>
      </c>
      <c r="C10" s="35" t="s">
        <v>102</v>
      </c>
      <c r="D10" s="35" t="s">
        <v>103</v>
      </c>
    </row>
    <row r="11" spans="1:4" ht="69.75" customHeight="1" x14ac:dyDescent="0.2">
      <c r="A11" s="34" t="s">
        <v>104</v>
      </c>
      <c r="B11" s="35" t="s">
        <v>105</v>
      </c>
      <c r="C11" s="35" t="s">
        <v>106</v>
      </c>
      <c r="D11" s="35" t="s">
        <v>107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Tổng quan</vt:lpstr>
      <vt:lpstr>Gói credit</vt:lpstr>
      <vt:lpstr>Dịch vụ</vt:lpstr>
      <vt:lpstr>Chiến thuật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Harley</cp:lastModifiedBy>
  <cp:revision>0</cp:revision>
  <dcterms:created xsi:type="dcterms:W3CDTF">2026-06-09T20:10:05Z</dcterms:created>
  <dcterms:modified xsi:type="dcterms:W3CDTF">2026-06-09T20:14:56Z</dcterms:modified>
  <dc:language>en-US</dc:language>
</cp:coreProperties>
</file>